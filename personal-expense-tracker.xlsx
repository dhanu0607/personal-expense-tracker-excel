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ersonal-expense-tracker-excel\"/>
    </mc:Choice>
  </mc:AlternateContent>
  <xr:revisionPtr revIDLastSave="0" documentId="13_ncr:1_{E1E96AB8-7DE2-4287-B5C7-A739596147F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4" i="1"/>
  <c r="H3" i="1"/>
  <c r="H5" i="1" l="1"/>
</calcChain>
</file>

<file path=xl/sharedStrings.xml><?xml version="1.0" encoding="utf-8"?>
<sst xmlns="http://schemas.openxmlformats.org/spreadsheetml/2006/main" count="33" uniqueCount="25">
  <si>
    <t>Monthly Expense-Tracker</t>
  </si>
  <si>
    <t>INCOME</t>
  </si>
  <si>
    <t>SUMMARY</t>
  </si>
  <si>
    <t>MONTHLY INCOME</t>
  </si>
  <si>
    <t>TOTAL INCOME</t>
  </si>
  <si>
    <t>side income</t>
  </si>
  <si>
    <t>TOTAL EXPENSE</t>
  </si>
  <si>
    <t>SAVINGS</t>
  </si>
  <si>
    <t>EXPENSES</t>
  </si>
  <si>
    <t>DATE</t>
  </si>
  <si>
    <t>CATEGORY</t>
  </si>
  <si>
    <t>DESCRIPTION</t>
  </si>
  <si>
    <t>EXPENSE-AMOUNT</t>
  </si>
  <si>
    <t>TOTALEXPENSE</t>
  </si>
  <si>
    <t>EMI</t>
  </si>
  <si>
    <t>LAPTOP</t>
  </si>
  <si>
    <t>RD</t>
  </si>
  <si>
    <t>SBI RD</t>
  </si>
  <si>
    <t>WIFI</t>
  </si>
  <si>
    <t>RECHARGE</t>
  </si>
  <si>
    <t>GYM</t>
  </si>
  <si>
    <t>MONTHLY FEES</t>
  </si>
  <si>
    <t>MOBILE</t>
  </si>
  <si>
    <t>FUEL</t>
  </si>
  <si>
    <t>BIKE 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</si>
</sst>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0" fillId="0" borderId="0" xfId="0" applyNumberFormat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0" xfId="0" applyFont="1"/>
    <xf numFmtId="0" fontId="5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7" xfId="0" applyNumberFormat="1" applyBorder="1"/>
    <xf numFmtId="0" fontId="5" fillId="0" borderId="8" xfId="0" applyFont="1" applyBorder="1"/>
    <xf numFmtId="164" fontId="0" fillId="0" borderId="9" xfId="0" applyNumberForma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0" fillId="0" borderId="12" xfId="0" applyNumberFormat="1" applyBorder="1"/>
    <xf numFmtId="14" fontId="0" fillId="0" borderId="0" xfId="0" applyNumberFormat="1"/>
    <xf numFmtId="0" fontId="5" fillId="0" borderId="13" xfId="0" applyFont="1" applyBorder="1"/>
    <xf numFmtId="164" fontId="0" fillId="0" borderId="14" xfId="0" applyNumberFormat="1" applyBorder="1"/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14" fontId="6" fillId="6" borderId="15" xfId="0" applyNumberFormat="1" applyFont="1" applyFill="1" applyBorder="1"/>
    <xf numFmtId="0" fontId="6" fillId="6" borderId="16" xfId="0" applyFont="1" applyFill="1" applyBorder="1"/>
    <xf numFmtId="164" fontId="6" fillId="6" borderId="16" xfId="0" applyNumberFormat="1" applyFont="1" applyFill="1" applyBorder="1"/>
    <xf numFmtId="164" fontId="6" fillId="6" borderId="17" xfId="0" applyNumberFormat="1" applyFont="1" applyFill="1" applyBorder="1"/>
    <xf numFmtId="0" fontId="5" fillId="6" borderId="4" xfId="0" applyFont="1" applyFill="1" applyBorder="1"/>
    <xf numFmtId="164" fontId="1" fillId="6" borderId="5" xfId="0" applyNumberFormat="1" applyFont="1" applyFill="1" applyBorder="1"/>
    <xf numFmtId="14" fontId="0" fillId="0" borderId="18" xfId="0" applyNumberFormat="1" applyBorder="1"/>
    <xf numFmtId="0" fontId="0" fillId="0" borderId="19" xfId="0" applyBorder="1"/>
    <xf numFmtId="164" fontId="0" fillId="0" borderId="19" xfId="0" applyNumberFormat="1" applyBorder="1"/>
    <xf numFmtId="164" fontId="0" fillId="0" borderId="20" xfId="0" applyNumberFormat="1" applyBorder="1"/>
    <xf numFmtId="14" fontId="0" fillId="0" borderId="8" xfId="0" applyNumberFormat="1" applyBorder="1"/>
    <xf numFmtId="0" fontId="0" fillId="0" borderId="21" xfId="0" applyBorder="1"/>
    <xf numFmtId="164" fontId="0" fillId="0" borderId="21" xfId="0" applyNumberFormat="1" applyBorder="1"/>
    <xf numFmtId="0" fontId="0" fillId="0" borderId="8" xfId="0" applyBorder="1"/>
    <xf numFmtId="14" fontId="0" fillId="0" borderId="13" xfId="0" applyNumberFormat="1" applyBorder="1"/>
    <xf numFmtId="0" fontId="0" fillId="0" borderId="22" xfId="0" applyBorder="1"/>
    <xf numFmtId="164" fontId="0" fillId="0" borderId="22" xfId="0" applyNumberFormat="1" applyBorder="1"/>
    <xf numFmtId="0" fontId="0" fillId="0" borderId="13" xfId="0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Sheet1!$G$9:$G$18</c:f>
              <c:strCache>
                <c:ptCount val="6"/>
                <c:pt idx="0">
                  <c:v>EMI</c:v>
                </c:pt>
                <c:pt idx="1">
                  <c:v>RD</c:v>
                </c:pt>
                <c:pt idx="2">
                  <c:v>GYM</c:v>
                </c:pt>
                <c:pt idx="3">
                  <c:v>WIFI</c:v>
                </c:pt>
                <c:pt idx="4">
                  <c:v>MOBILE</c:v>
                </c:pt>
                <c:pt idx="5">
                  <c:v>FUEL</c:v>
                </c:pt>
              </c:strCache>
            </c:strRef>
          </c:cat>
          <c:val>
            <c:numRef>
              <c:f>Sheet1!$H$9:$H$18</c:f>
              <c:numCache>
                <c:formatCode>"₹"\ #,##0.00</c:formatCode>
                <c:ptCount val="10"/>
                <c:pt idx="0">
                  <c:v>4350</c:v>
                </c:pt>
                <c:pt idx="1">
                  <c:v>1200</c:v>
                </c:pt>
                <c:pt idx="2">
                  <c:v>1000</c:v>
                </c:pt>
                <c:pt idx="3">
                  <c:v>750</c:v>
                </c:pt>
                <c:pt idx="4">
                  <c:v>299</c:v>
                </c:pt>
                <c:pt idx="5">
                  <c:v>800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A-41F1-B4DA-4505D71A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</a:t>
            </a:r>
            <a:r>
              <a:rPr lang="en-IN" baseline="0"/>
              <a:t> VS EXPENSE VS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Sheet1!$G$3:$G$5</c:f>
              <c:strCache>
                <c:ptCount val="3"/>
                <c:pt idx="0">
                  <c:v>TOTAL INCOME</c:v>
                </c:pt>
                <c:pt idx="1">
                  <c:v>TOTAL EXPENSE</c:v>
                </c:pt>
                <c:pt idx="2">
                  <c:v>SAVINGS</c:v>
                </c:pt>
              </c:strCache>
            </c:strRef>
          </c:cat>
          <c:val>
            <c:numRef>
              <c:f>Sheet1!$H$3:$H$5</c:f>
              <c:numCache>
                <c:formatCode>"₹"\ #,##0.00</c:formatCode>
                <c:ptCount val="3"/>
                <c:pt idx="0">
                  <c:v>12300</c:v>
                </c:pt>
                <c:pt idx="1">
                  <c:v>8399</c:v>
                </c:pt>
                <c:pt idx="2">
                  <c:v>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3-435B-A1C6-1FA20EABA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433104"/>
        <c:axId val="786433584"/>
      </c:barChart>
      <c:catAx>
        <c:axId val="7864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33584"/>
        <c:crosses val="autoZero"/>
        <c:auto val="1"/>
        <c:lblAlgn val="ctr"/>
        <c:lblOffset val="100"/>
        <c:noMultiLvlLbl val="0"/>
      </c:catAx>
      <c:valAx>
        <c:axId val="7864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2</xdr:row>
      <xdr:rowOff>53340</xdr:rowOff>
    </xdr:from>
    <xdr:to>
      <xdr:col>15</xdr:col>
      <xdr:colOff>236220</xdr:colOff>
      <xdr:row>15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8E6208-644D-365B-4C9B-227892B7B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30480</xdr:rowOff>
    </xdr:from>
    <xdr:to>
      <xdr:col>15</xdr:col>
      <xdr:colOff>335280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8D5556-1926-3CF2-F963-F33CFF311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D2EC4B8BD52A98D/Documents/Monthly-Finance-Tracker.xlsx" TargetMode="External"/><Relationship Id="rId1" Type="http://schemas.openxmlformats.org/officeDocument/2006/relationships/externalLinkPath" Target="https://d.docs.live.net/ED2EC4B8BD52A98D/Documents/Monthly-Finance-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ember"/>
    </sheetNames>
    <sheetDataSet>
      <sheetData sheetId="0">
        <row r="3">
          <cell r="G3" t="str">
            <v>TOTAL INCOME</v>
          </cell>
          <cell r="H3">
            <v>12300</v>
          </cell>
        </row>
        <row r="4">
          <cell r="G4" t="str">
            <v>TOTAL EXPENSE</v>
          </cell>
          <cell r="H4">
            <v>7599</v>
          </cell>
        </row>
        <row r="5">
          <cell r="G5" t="str">
            <v>SAVINGS</v>
          </cell>
          <cell r="H5">
            <v>4701</v>
          </cell>
        </row>
        <row r="9">
          <cell r="G9" t="str">
            <v>EMI</v>
          </cell>
          <cell r="H9">
            <v>4350</v>
          </cell>
        </row>
        <row r="10">
          <cell r="G10" t="str">
            <v>RD</v>
          </cell>
          <cell r="H10">
            <v>1200</v>
          </cell>
        </row>
        <row r="11">
          <cell r="G11" t="str">
            <v>GYM</v>
          </cell>
          <cell r="H11">
            <v>1000</v>
          </cell>
        </row>
        <row r="12">
          <cell r="G12" t="str">
            <v>WIFI</v>
          </cell>
          <cell r="H12">
            <v>750</v>
          </cell>
        </row>
        <row r="13">
          <cell r="G13" t="str">
            <v>MOBILE</v>
          </cell>
          <cell r="H13">
            <v>299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topLeftCell="A2" workbookViewId="0">
      <selection activeCell="H25" sqref="H25"/>
    </sheetView>
  </sheetViews>
  <sheetFormatPr defaultRowHeight="14.4" x14ac:dyDescent="0.3"/>
  <cols>
    <col min="1" max="1" width="3" customWidth="1"/>
    <col min="2" max="2" width="10.33203125" style="19" bestFit="1" customWidth="1"/>
    <col min="3" max="3" width="11.109375" bestFit="1" customWidth="1"/>
    <col min="4" max="4" width="13.77734375" style="7" bestFit="1" customWidth="1"/>
    <col min="5" max="5" width="18.44140625" style="7" bestFit="1" customWidth="1"/>
    <col min="7" max="7" width="15.6640625" bestFit="1" customWidth="1"/>
    <col min="8" max="8" width="13.6640625" style="7" bestFit="1" customWidth="1"/>
  </cols>
  <sheetData>
    <row r="1" spans="1:23" ht="34.200000000000003" thickBot="1" x14ac:dyDescent="0.7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8.600000000000001" thickBot="1" x14ac:dyDescent="0.4">
      <c r="B2" s="4" t="s">
        <v>1</v>
      </c>
      <c r="C2" s="5"/>
      <c r="D2" s="6"/>
      <c r="G2" s="8" t="s">
        <v>2</v>
      </c>
      <c r="H2" s="9"/>
      <c r="I2" s="10"/>
    </row>
    <row r="3" spans="1:23" x14ac:dyDescent="0.3">
      <c r="B3" s="11" t="s">
        <v>3</v>
      </c>
      <c r="C3" s="12"/>
      <c r="D3" s="13">
        <v>9300</v>
      </c>
      <c r="G3" s="14" t="s">
        <v>4</v>
      </c>
      <c r="H3" s="15">
        <f>D3+D4</f>
        <v>12300</v>
      </c>
    </row>
    <row r="4" spans="1:23" ht="15" thickBot="1" x14ac:dyDescent="0.35">
      <c r="B4" s="16" t="s">
        <v>5</v>
      </c>
      <c r="C4" s="17"/>
      <c r="D4" s="18">
        <v>3000</v>
      </c>
      <c r="G4" s="14" t="s">
        <v>6</v>
      </c>
      <c r="H4" s="15">
        <f>SUM(E:E)</f>
        <v>8399</v>
      </c>
    </row>
    <row r="5" spans="1:23" ht="15" thickBot="1" x14ac:dyDescent="0.35">
      <c r="G5" s="20" t="s">
        <v>7</v>
      </c>
      <c r="H5" s="21">
        <f>H3-H4</f>
        <v>3901</v>
      </c>
    </row>
    <row r="6" spans="1:23" ht="15" thickBot="1" x14ac:dyDescent="0.35"/>
    <row r="7" spans="1:23" ht="18" thickBot="1" x14ac:dyDescent="0.35">
      <c r="B7" s="22" t="s">
        <v>8</v>
      </c>
      <c r="C7" s="23"/>
      <c r="D7" s="23"/>
      <c r="E7" s="24"/>
    </row>
    <row r="8" spans="1:23" ht="16.2" thickBot="1" x14ac:dyDescent="0.35">
      <c r="B8" s="25" t="s">
        <v>9</v>
      </c>
      <c r="C8" s="26" t="s">
        <v>10</v>
      </c>
      <c r="D8" s="27" t="s">
        <v>11</v>
      </c>
      <c r="E8" s="28" t="s">
        <v>12</v>
      </c>
      <c r="G8" s="29" t="s">
        <v>10</v>
      </c>
      <c r="H8" s="30" t="s">
        <v>13</v>
      </c>
    </row>
    <row r="9" spans="1:23" x14ac:dyDescent="0.3">
      <c r="B9" s="31">
        <v>45992</v>
      </c>
      <c r="C9" s="32" t="s">
        <v>14</v>
      </c>
      <c r="D9" s="33" t="s">
        <v>15</v>
      </c>
      <c r="E9" s="34">
        <v>4350</v>
      </c>
      <c r="G9" s="14" t="s">
        <v>14</v>
      </c>
      <c r="H9" s="15">
        <f>SUMIF($C:$C,G9,$E:$E)</f>
        <v>4350</v>
      </c>
    </row>
    <row r="10" spans="1:23" x14ac:dyDescent="0.3">
      <c r="B10" s="35">
        <v>45993</v>
      </c>
      <c r="C10" s="36" t="s">
        <v>16</v>
      </c>
      <c r="D10" s="37" t="s">
        <v>17</v>
      </c>
      <c r="E10" s="15">
        <v>1200</v>
      </c>
      <c r="G10" s="14" t="s">
        <v>16</v>
      </c>
      <c r="H10" s="15">
        <f t="shared" ref="H10:H18" si="0">SUMIF($C:$C,G10,$E:$E)</f>
        <v>1200</v>
      </c>
    </row>
    <row r="11" spans="1:23" x14ac:dyDescent="0.3">
      <c r="B11" s="35">
        <v>45994</v>
      </c>
      <c r="C11" s="36" t="s">
        <v>23</v>
      </c>
      <c r="D11" s="37" t="s">
        <v>24</v>
      </c>
      <c r="E11" s="15">
        <v>800</v>
      </c>
      <c r="G11" s="14" t="s">
        <v>20</v>
      </c>
      <c r="H11" s="15">
        <f t="shared" si="0"/>
        <v>1000</v>
      </c>
    </row>
    <row r="12" spans="1:23" x14ac:dyDescent="0.3">
      <c r="B12" s="35">
        <v>45998</v>
      </c>
      <c r="C12" s="36" t="s">
        <v>18</v>
      </c>
      <c r="D12" s="37" t="s">
        <v>19</v>
      </c>
      <c r="E12" s="15">
        <v>750</v>
      </c>
      <c r="G12" s="14" t="s">
        <v>18</v>
      </c>
      <c r="H12" s="15">
        <f t="shared" si="0"/>
        <v>750</v>
      </c>
    </row>
    <row r="13" spans="1:23" x14ac:dyDescent="0.3">
      <c r="B13" s="35">
        <v>46006</v>
      </c>
      <c r="C13" s="36" t="s">
        <v>20</v>
      </c>
      <c r="D13" s="37" t="s">
        <v>21</v>
      </c>
      <c r="E13" s="15">
        <v>1000</v>
      </c>
      <c r="G13" s="14" t="s">
        <v>22</v>
      </c>
      <c r="H13" s="15">
        <f t="shared" si="0"/>
        <v>299</v>
      </c>
    </row>
    <row r="14" spans="1:23" x14ac:dyDescent="0.3">
      <c r="B14" s="35">
        <v>46011</v>
      </c>
      <c r="C14" s="36" t="s">
        <v>22</v>
      </c>
      <c r="D14" s="37" t="s">
        <v>19</v>
      </c>
      <c r="E14" s="15">
        <v>299</v>
      </c>
      <c r="G14" s="43" t="s">
        <v>23</v>
      </c>
      <c r="H14" s="15">
        <f t="shared" si="0"/>
        <v>800</v>
      </c>
    </row>
    <row r="15" spans="1:23" ht="15" thickBot="1" x14ac:dyDescent="0.35">
      <c r="B15" s="39"/>
      <c r="C15" s="40"/>
      <c r="D15" s="41"/>
      <c r="E15" s="21"/>
      <c r="G15" s="38"/>
      <c r="H15" s="15">
        <f t="shared" si="0"/>
        <v>0</v>
      </c>
    </row>
    <row r="16" spans="1:23" x14ac:dyDescent="0.3">
      <c r="G16" s="38"/>
      <c r="H16" s="15">
        <f t="shared" si="0"/>
        <v>0</v>
      </c>
    </row>
    <row r="17" spans="7:8" x14ac:dyDescent="0.3">
      <c r="G17" s="38"/>
      <c r="H17" s="15">
        <f t="shared" si="0"/>
        <v>0</v>
      </c>
    </row>
    <row r="18" spans="7:8" ht="15" thickBot="1" x14ac:dyDescent="0.35">
      <c r="G18" s="42"/>
      <c r="H18" s="21">
        <f t="shared" si="0"/>
        <v>0</v>
      </c>
    </row>
  </sheetData>
  <sortState xmlns:xlrd2="http://schemas.microsoft.com/office/spreadsheetml/2017/richdata2" ref="B9:E14">
    <sortCondition ref="B9:B14"/>
  </sortState>
  <mergeCells count="6">
    <mergeCell ref="B1:W1"/>
    <mergeCell ref="B2:D2"/>
    <mergeCell ref="G2:H2"/>
    <mergeCell ref="B3:C3"/>
    <mergeCell ref="B4:C4"/>
    <mergeCell ref="B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</dc:creator>
  <cp:lastModifiedBy>Dhanush Poojary</cp:lastModifiedBy>
  <dcterms:created xsi:type="dcterms:W3CDTF">2015-06-05T18:17:20Z</dcterms:created>
  <dcterms:modified xsi:type="dcterms:W3CDTF">2025-12-13T11:23:01Z</dcterms:modified>
</cp:coreProperties>
</file>